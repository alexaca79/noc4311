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93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rive\MCSCS-Interview\Presentation\NOC4311_LMA\"/>
    </mc:Choice>
  </mc:AlternateContent>
  <xr:revisionPtr revIDLastSave="0" documentId="8_{C1947D1C-9DD2-497B-88A8-FFFAE58079AF}" xr6:coauthVersionLast="33" xr6:coauthVersionMax="33" xr10:uidLastSave="{00000000-0000-0000-0000-000000000000}"/>
  <bookViews>
    <workbookView xWindow="0" yWindow="0" windowWidth="24528" windowHeight="12048" activeTab="1"/>
  </bookViews>
  <sheets>
    <sheet name="TOTAL" sheetId="2" r:id="rId1"/>
    <sheet name="GenderMinorityAnalysis" sheetId="1" r:id="rId2"/>
  </sheets>
  <calcPr calcId="0"/>
</workbook>
</file>

<file path=xl/calcChain.xml><?xml version="1.0" encoding="utf-8"?>
<calcChain xmlns="http://schemas.openxmlformats.org/spreadsheetml/2006/main">
  <c r="F28" i="1" l="1"/>
  <c r="G3" i="1" s="1"/>
  <c r="F27" i="1"/>
  <c r="E28" i="1"/>
  <c r="F3" i="1" s="1"/>
  <c r="F4" i="1" s="1"/>
  <c r="F5" i="1" s="1"/>
  <c r="F6" i="1" s="1"/>
  <c r="F7" i="1" s="1"/>
  <c r="F8" i="1" s="1"/>
  <c r="F9" i="1" s="1"/>
  <c r="F10" i="1" s="1"/>
  <c r="F11" i="1" s="1"/>
  <c r="F12" i="1" s="1"/>
  <c r="F13" i="1" s="1"/>
  <c r="F14" i="1" s="1"/>
  <c r="F15" i="1" s="1"/>
  <c r="F16" i="1" s="1"/>
  <c r="F17" i="1" s="1"/>
  <c r="F18" i="1" s="1"/>
  <c r="F19" i="1" s="1"/>
  <c r="F20" i="1" s="1"/>
  <c r="F21" i="1" s="1"/>
  <c r="F22" i="1" s="1"/>
  <c r="F23" i="1" s="1"/>
  <c r="F24" i="1" s="1"/>
  <c r="F25" i="1" s="1"/>
  <c r="E27" i="1"/>
  <c r="H26" i="1"/>
  <c r="I26" i="1"/>
  <c r="I2" i="1"/>
  <c r="H2" i="1"/>
  <c r="E34" i="2"/>
  <c r="E33" i="2"/>
  <c r="F33" i="2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" i="1"/>
  <c r="G4" i="1" l="1"/>
  <c r="I3" i="1"/>
  <c r="H4" i="1"/>
  <c r="H3" i="1"/>
  <c r="G5" i="1" l="1"/>
  <c r="I4" i="1"/>
  <c r="H5" i="1"/>
  <c r="I5" i="1" l="1"/>
  <c r="G6" i="1"/>
  <c r="H6" i="1"/>
  <c r="K6" i="1" s="1"/>
  <c r="I6" i="1" l="1"/>
  <c r="L6" i="1" s="1"/>
  <c r="G7" i="1"/>
  <c r="H7" i="1"/>
  <c r="G8" i="1" l="1"/>
  <c r="I7" i="1"/>
  <c r="H8" i="1"/>
  <c r="I8" i="1" l="1"/>
  <c r="G9" i="1"/>
  <c r="H9" i="1"/>
  <c r="I9" i="1" l="1"/>
  <c r="G10" i="1"/>
  <c r="H10" i="1"/>
  <c r="G11" i="1" l="1"/>
  <c r="I10" i="1"/>
  <c r="H11" i="1"/>
  <c r="I11" i="1" l="1"/>
  <c r="G12" i="1"/>
  <c r="H12" i="1"/>
  <c r="G13" i="1" l="1"/>
  <c r="I12" i="1"/>
  <c r="H13" i="1"/>
  <c r="I13" i="1" l="1"/>
  <c r="G14" i="1"/>
  <c r="H14" i="1"/>
  <c r="G15" i="1" l="1"/>
  <c r="I14" i="1"/>
  <c r="H15" i="1"/>
  <c r="G16" i="1" l="1"/>
  <c r="I15" i="1"/>
  <c r="H16" i="1"/>
  <c r="G17" i="1" l="1"/>
  <c r="I16" i="1"/>
  <c r="H17" i="1"/>
  <c r="I17" i="1" l="1"/>
  <c r="G18" i="1"/>
  <c r="H18" i="1"/>
  <c r="I18" i="1" l="1"/>
  <c r="G19" i="1"/>
  <c r="H19" i="1"/>
  <c r="G20" i="1" l="1"/>
  <c r="I19" i="1"/>
  <c r="H20" i="1"/>
  <c r="I20" i="1" l="1"/>
  <c r="G21" i="1"/>
  <c r="H21" i="1"/>
  <c r="G22" i="1" l="1"/>
  <c r="I21" i="1"/>
  <c r="H22" i="1"/>
  <c r="G23" i="1" l="1"/>
  <c r="I22" i="1"/>
  <c r="H23" i="1"/>
  <c r="G24" i="1" l="1"/>
  <c r="I23" i="1"/>
  <c r="H25" i="1"/>
  <c r="H24" i="1"/>
  <c r="G25" i="1" l="1"/>
  <c r="I25" i="1" s="1"/>
  <c r="I24" i="1"/>
</calcChain>
</file>

<file path=xl/sharedStrings.xml><?xml version="1.0" encoding="utf-8"?>
<sst xmlns="http://schemas.openxmlformats.org/spreadsheetml/2006/main" count="12" uniqueCount="11">
  <si>
    <t>REF_DATE</t>
  </si>
  <si>
    <t>pop</t>
  </si>
  <si>
    <t>Number of Police Needed</t>
  </si>
  <si>
    <t>predictionglm</t>
  </si>
  <si>
    <t>multiples</t>
  </si>
  <si>
    <t>predictionnumberofminoritynne</t>
  </si>
  <si>
    <t xml:space="preserve">Number of minority police officers need </t>
  </si>
  <si>
    <t xml:space="preserve">Number of women police officers need </t>
  </si>
  <si>
    <t>Population</t>
  </si>
  <si>
    <t>Authorized police officer strength</t>
  </si>
  <si>
    <t>Authorized police officer strength per 100,000 population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</si>
</sst>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Population</a:t>
            </a:r>
          </a:p>
        </c:rich>
      </c:tx>
      <c:layout>
        <c:manualLayout>
          <c:xMode val="edge"/>
          <c:yMode val="edge"/>
          <c:x val="0.40949300087489071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Historical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TOTAL!$A$2:$A$32</c:f>
              <c:numCache>
                <c:formatCode>General</c:formatCode>
                <c:ptCount val="31"/>
                <c:pt idx="0">
                  <c:v>1986</c:v>
                </c:pt>
                <c:pt idx="1">
                  <c:v>1987</c:v>
                </c:pt>
                <c:pt idx="2">
                  <c:v>1988</c:v>
                </c:pt>
                <c:pt idx="3">
                  <c:v>1989</c:v>
                </c:pt>
                <c:pt idx="4">
                  <c:v>1990</c:v>
                </c:pt>
                <c:pt idx="5">
                  <c:v>1991</c:v>
                </c:pt>
                <c:pt idx="6">
                  <c:v>1992</c:v>
                </c:pt>
                <c:pt idx="7">
                  <c:v>1993</c:v>
                </c:pt>
                <c:pt idx="8">
                  <c:v>1994</c:v>
                </c:pt>
                <c:pt idx="9">
                  <c:v>1995</c:v>
                </c:pt>
                <c:pt idx="10">
                  <c:v>1996</c:v>
                </c:pt>
                <c:pt idx="11">
                  <c:v>1997</c:v>
                </c:pt>
                <c:pt idx="12">
                  <c:v>1998</c:v>
                </c:pt>
                <c:pt idx="13">
                  <c:v>1999</c:v>
                </c:pt>
                <c:pt idx="14">
                  <c:v>2000</c:v>
                </c:pt>
                <c:pt idx="15">
                  <c:v>2001</c:v>
                </c:pt>
                <c:pt idx="16">
                  <c:v>2002</c:v>
                </c:pt>
                <c:pt idx="17">
                  <c:v>2003</c:v>
                </c:pt>
                <c:pt idx="18">
                  <c:v>2004</c:v>
                </c:pt>
                <c:pt idx="19">
                  <c:v>2005</c:v>
                </c:pt>
                <c:pt idx="20">
                  <c:v>2006</c:v>
                </c:pt>
                <c:pt idx="21">
                  <c:v>2007</c:v>
                </c:pt>
                <c:pt idx="22">
                  <c:v>2008</c:v>
                </c:pt>
                <c:pt idx="23">
                  <c:v>2009</c:v>
                </c:pt>
                <c:pt idx="24">
                  <c:v>2010</c:v>
                </c:pt>
                <c:pt idx="25">
                  <c:v>2011</c:v>
                </c:pt>
                <c:pt idx="26">
                  <c:v>2012</c:v>
                </c:pt>
                <c:pt idx="27">
                  <c:v>2013</c:v>
                </c:pt>
                <c:pt idx="28">
                  <c:v>2014</c:v>
                </c:pt>
                <c:pt idx="29">
                  <c:v>2015</c:v>
                </c:pt>
                <c:pt idx="30">
                  <c:v>2016</c:v>
                </c:pt>
              </c:numCache>
            </c:numRef>
          </c:xVal>
          <c:yVal>
            <c:numRef>
              <c:f>TOTAL!$D$2:$D$32</c:f>
              <c:numCache>
                <c:formatCode>General</c:formatCode>
                <c:ptCount val="31"/>
                <c:pt idx="0">
                  <c:v>9437359</c:v>
                </c:pt>
                <c:pt idx="1">
                  <c:v>9637945</c:v>
                </c:pt>
                <c:pt idx="2">
                  <c:v>9838620</c:v>
                </c:pt>
                <c:pt idx="3">
                  <c:v>10103305</c:v>
                </c:pt>
                <c:pt idx="4">
                  <c:v>10295832</c:v>
                </c:pt>
                <c:pt idx="5">
                  <c:v>10431316</c:v>
                </c:pt>
                <c:pt idx="6">
                  <c:v>10572205</c:v>
                </c:pt>
                <c:pt idx="7">
                  <c:v>10690038</c:v>
                </c:pt>
                <c:pt idx="8">
                  <c:v>10819146</c:v>
                </c:pt>
                <c:pt idx="9">
                  <c:v>10950119</c:v>
                </c:pt>
                <c:pt idx="10">
                  <c:v>11082903</c:v>
                </c:pt>
                <c:pt idx="11">
                  <c:v>11227651</c:v>
                </c:pt>
                <c:pt idx="12">
                  <c:v>11365901</c:v>
                </c:pt>
                <c:pt idx="13">
                  <c:v>11504759</c:v>
                </c:pt>
                <c:pt idx="14">
                  <c:v>11683290</c:v>
                </c:pt>
                <c:pt idx="15">
                  <c:v>11897370</c:v>
                </c:pt>
                <c:pt idx="16">
                  <c:v>12093299</c:v>
                </c:pt>
                <c:pt idx="17">
                  <c:v>12243758</c:v>
                </c:pt>
                <c:pt idx="18">
                  <c:v>12390068</c:v>
                </c:pt>
                <c:pt idx="19">
                  <c:v>12527990</c:v>
                </c:pt>
                <c:pt idx="20">
                  <c:v>12661566</c:v>
                </c:pt>
                <c:pt idx="21">
                  <c:v>12764195</c:v>
                </c:pt>
                <c:pt idx="22">
                  <c:v>12882625</c:v>
                </c:pt>
                <c:pt idx="23">
                  <c:v>12997687</c:v>
                </c:pt>
                <c:pt idx="24">
                  <c:v>13135063</c:v>
                </c:pt>
                <c:pt idx="25">
                  <c:v>13263544</c:v>
                </c:pt>
                <c:pt idx="26">
                  <c:v>13413702</c:v>
                </c:pt>
                <c:pt idx="27">
                  <c:v>13555754</c:v>
                </c:pt>
                <c:pt idx="28">
                  <c:v>13680425</c:v>
                </c:pt>
                <c:pt idx="29">
                  <c:v>13789597</c:v>
                </c:pt>
                <c:pt idx="30">
                  <c:v>13976320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47A-49B3-A156-E653AF9AB598}"/>
            </c:ext>
          </c:extLst>
        </c:ser>
        <c:ser>
          <c:idx val="1"/>
          <c:order val="1"/>
          <c:tx>
            <c:v>Forecast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TOTAL!$A$32:$A$57</c:f>
              <c:numCache>
                <c:formatCode>General</c:formatCode>
                <c:ptCount val="26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  <c:pt idx="10">
                  <c:v>2026</c:v>
                </c:pt>
                <c:pt idx="11">
                  <c:v>2027</c:v>
                </c:pt>
                <c:pt idx="12">
                  <c:v>2028</c:v>
                </c:pt>
                <c:pt idx="13">
                  <c:v>2029</c:v>
                </c:pt>
                <c:pt idx="14">
                  <c:v>2030</c:v>
                </c:pt>
                <c:pt idx="15">
                  <c:v>2031</c:v>
                </c:pt>
                <c:pt idx="16">
                  <c:v>2032</c:v>
                </c:pt>
                <c:pt idx="17">
                  <c:v>2033</c:v>
                </c:pt>
                <c:pt idx="18">
                  <c:v>2034</c:v>
                </c:pt>
                <c:pt idx="19">
                  <c:v>2035</c:v>
                </c:pt>
                <c:pt idx="20">
                  <c:v>2036</c:v>
                </c:pt>
                <c:pt idx="21">
                  <c:v>2037</c:v>
                </c:pt>
                <c:pt idx="22">
                  <c:v>2038</c:v>
                </c:pt>
                <c:pt idx="23">
                  <c:v>2039</c:v>
                </c:pt>
                <c:pt idx="24">
                  <c:v>2040</c:v>
                </c:pt>
                <c:pt idx="25">
                  <c:v>2041</c:v>
                </c:pt>
              </c:numCache>
            </c:numRef>
          </c:xVal>
          <c:yVal>
            <c:numRef>
              <c:f>TOTAL!$D$33:$D$57</c:f>
              <c:numCache>
                <c:formatCode>General</c:formatCode>
                <c:ptCount val="25"/>
                <c:pt idx="0">
                  <c:v>14130259</c:v>
                </c:pt>
                <c:pt idx="1">
                  <c:v>14297175</c:v>
                </c:pt>
                <c:pt idx="2">
                  <c:v>14461580</c:v>
                </c:pt>
                <c:pt idx="3">
                  <c:v>14624595</c:v>
                </c:pt>
                <c:pt idx="4">
                  <c:v>14788488</c:v>
                </c:pt>
                <c:pt idx="5">
                  <c:v>14953133</c:v>
                </c:pt>
                <c:pt idx="6">
                  <c:v>15118338</c:v>
                </c:pt>
                <c:pt idx="7">
                  <c:v>15283774</c:v>
                </c:pt>
                <c:pt idx="8">
                  <c:v>15449133</c:v>
                </c:pt>
                <c:pt idx="9">
                  <c:v>15614382</c:v>
                </c:pt>
                <c:pt idx="10">
                  <c:v>15779180</c:v>
                </c:pt>
                <c:pt idx="11">
                  <c:v>15943199</c:v>
                </c:pt>
                <c:pt idx="12">
                  <c:v>16106156</c:v>
                </c:pt>
                <c:pt idx="13">
                  <c:v>16267817</c:v>
                </c:pt>
                <c:pt idx="14">
                  <c:v>16428017</c:v>
                </c:pt>
                <c:pt idx="15">
                  <c:v>16586680</c:v>
                </c:pt>
                <c:pt idx="16">
                  <c:v>16743711</c:v>
                </c:pt>
                <c:pt idx="17">
                  <c:v>16899105</c:v>
                </c:pt>
                <c:pt idx="18">
                  <c:v>17052894</c:v>
                </c:pt>
                <c:pt idx="19">
                  <c:v>17205184</c:v>
                </c:pt>
                <c:pt idx="20">
                  <c:v>17356098</c:v>
                </c:pt>
                <c:pt idx="21">
                  <c:v>17505798</c:v>
                </c:pt>
                <c:pt idx="22">
                  <c:v>17654407</c:v>
                </c:pt>
                <c:pt idx="23">
                  <c:v>17802070</c:v>
                </c:pt>
                <c:pt idx="24">
                  <c:v>17948908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47A-49B3-A156-E653AF9AB5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9067152"/>
        <c:axId val="539069448"/>
      </c:scatterChart>
      <c:valAx>
        <c:axId val="539067152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9069448"/>
        <c:crosses val="autoZero"/>
        <c:crossBetween val="midCat"/>
      </c:valAx>
      <c:valAx>
        <c:axId val="539069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90671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Authorized police officer strength per 100,000 population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Historical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TOTAL!$A$2:$A$32</c:f>
              <c:numCache>
                <c:formatCode>General</c:formatCode>
                <c:ptCount val="31"/>
                <c:pt idx="0">
                  <c:v>1986</c:v>
                </c:pt>
                <c:pt idx="1">
                  <c:v>1987</c:v>
                </c:pt>
                <c:pt idx="2">
                  <c:v>1988</c:v>
                </c:pt>
                <c:pt idx="3">
                  <c:v>1989</c:v>
                </c:pt>
                <c:pt idx="4">
                  <c:v>1990</c:v>
                </c:pt>
                <c:pt idx="5">
                  <c:v>1991</c:v>
                </c:pt>
                <c:pt idx="6">
                  <c:v>1992</c:v>
                </c:pt>
                <c:pt idx="7">
                  <c:v>1993</c:v>
                </c:pt>
                <c:pt idx="8">
                  <c:v>1994</c:v>
                </c:pt>
                <c:pt idx="9">
                  <c:v>1995</c:v>
                </c:pt>
                <c:pt idx="10">
                  <c:v>1996</c:v>
                </c:pt>
                <c:pt idx="11">
                  <c:v>1997</c:v>
                </c:pt>
                <c:pt idx="12">
                  <c:v>1998</c:v>
                </c:pt>
                <c:pt idx="13">
                  <c:v>1999</c:v>
                </c:pt>
                <c:pt idx="14">
                  <c:v>2000</c:v>
                </c:pt>
                <c:pt idx="15">
                  <c:v>2001</c:v>
                </c:pt>
                <c:pt idx="16">
                  <c:v>2002</c:v>
                </c:pt>
                <c:pt idx="17">
                  <c:v>2003</c:v>
                </c:pt>
                <c:pt idx="18">
                  <c:v>2004</c:v>
                </c:pt>
                <c:pt idx="19">
                  <c:v>2005</c:v>
                </c:pt>
                <c:pt idx="20">
                  <c:v>2006</c:v>
                </c:pt>
                <c:pt idx="21">
                  <c:v>2007</c:v>
                </c:pt>
                <c:pt idx="22">
                  <c:v>2008</c:v>
                </c:pt>
                <c:pt idx="23">
                  <c:v>2009</c:v>
                </c:pt>
                <c:pt idx="24">
                  <c:v>2010</c:v>
                </c:pt>
                <c:pt idx="25">
                  <c:v>2011</c:v>
                </c:pt>
                <c:pt idx="26">
                  <c:v>2012</c:v>
                </c:pt>
                <c:pt idx="27">
                  <c:v>2013</c:v>
                </c:pt>
                <c:pt idx="28">
                  <c:v>2014</c:v>
                </c:pt>
                <c:pt idx="29">
                  <c:v>2015</c:v>
                </c:pt>
                <c:pt idx="30">
                  <c:v>2016</c:v>
                </c:pt>
              </c:numCache>
            </c:numRef>
          </c:xVal>
          <c:yVal>
            <c:numRef>
              <c:f>TOTAL!$B$2:$B$32</c:f>
              <c:numCache>
                <c:formatCode>General</c:formatCode>
                <c:ptCount val="31"/>
                <c:pt idx="0">
                  <c:v>247.5</c:v>
                </c:pt>
                <c:pt idx="1">
                  <c:v>198.6</c:v>
                </c:pt>
                <c:pt idx="2">
                  <c:v>200.1</c:v>
                </c:pt>
                <c:pt idx="3">
                  <c:v>236.8</c:v>
                </c:pt>
                <c:pt idx="4">
                  <c:v>163.30000000000001</c:v>
                </c:pt>
                <c:pt idx="5">
                  <c:v>113.5</c:v>
                </c:pt>
                <c:pt idx="6">
                  <c:v>171.9</c:v>
                </c:pt>
                <c:pt idx="7">
                  <c:v>174.1</c:v>
                </c:pt>
                <c:pt idx="8">
                  <c:v>157.80000000000001</c:v>
                </c:pt>
                <c:pt idx="9">
                  <c:v>118.3</c:v>
                </c:pt>
                <c:pt idx="10">
                  <c:v>195</c:v>
                </c:pt>
                <c:pt idx="11">
                  <c:v>191.2</c:v>
                </c:pt>
                <c:pt idx="12">
                  <c:v>188.2</c:v>
                </c:pt>
                <c:pt idx="13">
                  <c:v>195.8</c:v>
                </c:pt>
                <c:pt idx="14">
                  <c:v>176.1</c:v>
                </c:pt>
                <c:pt idx="15">
                  <c:v>198.1</c:v>
                </c:pt>
                <c:pt idx="16">
                  <c:v>197.8</c:v>
                </c:pt>
                <c:pt idx="17">
                  <c:v>200.7</c:v>
                </c:pt>
                <c:pt idx="18">
                  <c:v>195.7</c:v>
                </c:pt>
                <c:pt idx="19">
                  <c:v>194.6</c:v>
                </c:pt>
                <c:pt idx="20">
                  <c:v>196.7</c:v>
                </c:pt>
                <c:pt idx="21">
                  <c:v>199.6</c:v>
                </c:pt>
                <c:pt idx="22">
                  <c:v>200.2</c:v>
                </c:pt>
                <c:pt idx="23">
                  <c:v>199.7</c:v>
                </c:pt>
                <c:pt idx="24">
                  <c:v>200.8</c:v>
                </c:pt>
                <c:pt idx="25">
                  <c:v>199.2</c:v>
                </c:pt>
                <c:pt idx="26">
                  <c:v>198.3</c:v>
                </c:pt>
                <c:pt idx="27">
                  <c:v>197.7</c:v>
                </c:pt>
                <c:pt idx="28">
                  <c:v>194.7</c:v>
                </c:pt>
                <c:pt idx="29">
                  <c:v>193.7</c:v>
                </c:pt>
                <c:pt idx="30">
                  <c:v>191.2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C68-4D69-9437-2B7B4B5BEE68}"/>
            </c:ext>
          </c:extLst>
        </c:ser>
        <c:ser>
          <c:idx val="1"/>
          <c:order val="1"/>
          <c:tx>
            <c:v>Forecast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TOTAL!$A$32:$A$57</c:f>
              <c:numCache>
                <c:formatCode>General</c:formatCode>
                <c:ptCount val="26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  <c:pt idx="10">
                  <c:v>2026</c:v>
                </c:pt>
                <c:pt idx="11">
                  <c:v>2027</c:v>
                </c:pt>
                <c:pt idx="12">
                  <c:v>2028</c:v>
                </c:pt>
                <c:pt idx="13">
                  <c:v>2029</c:v>
                </c:pt>
                <c:pt idx="14">
                  <c:v>2030</c:v>
                </c:pt>
                <c:pt idx="15">
                  <c:v>2031</c:v>
                </c:pt>
                <c:pt idx="16">
                  <c:v>2032</c:v>
                </c:pt>
                <c:pt idx="17">
                  <c:v>2033</c:v>
                </c:pt>
                <c:pt idx="18">
                  <c:v>2034</c:v>
                </c:pt>
                <c:pt idx="19">
                  <c:v>2035</c:v>
                </c:pt>
                <c:pt idx="20">
                  <c:v>2036</c:v>
                </c:pt>
                <c:pt idx="21">
                  <c:v>2037</c:v>
                </c:pt>
                <c:pt idx="22">
                  <c:v>2038</c:v>
                </c:pt>
                <c:pt idx="23">
                  <c:v>2039</c:v>
                </c:pt>
                <c:pt idx="24">
                  <c:v>2040</c:v>
                </c:pt>
                <c:pt idx="25">
                  <c:v>2041</c:v>
                </c:pt>
              </c:numCache>
            </c:numRef>
          </c:xVal>
          <c:yVal>
            <c:numRef>
              <c:f>TOTAL!$B$33:$B$57</c:f>
              <c:numCache>
                <c:formatCode>General</c:formatCode>
                <c:ptCount val="25"/>
                <c:pt idx="0">
                  <c:v>199.498295231057</c:v>
                </c:pt>
                <c:pt idx="1">
                  <c:v>199.079241175237</c:v>
                </c:pt>
                <c:pt idx="2">
                  <c:v>198.76897259713601</c:v>
                </c:pt>
                <c:pt idx="3">
                  <c:v>198.51892377770901</c:v>
                </c:pt>
                <c:pt idx="4">
                  <c:v>198.23083686611301</c:v>
                </c:pt>
                <c:pt idx="5">
                  <c:v>197.91017063183801</c:v>
                </c:pt>
                <c:pt idx="6">
                  <c:v>197.56524319982401</c:v>
                </c:pt>
                <c:pt idx="7">
                  <c:v>197.21030802374301</c:v>
                </c:pt>
                <c:pt idx="8">
                  <c:v>196.858708762351</c:v>
                </c:pt>
                <c:pt idx="9">
                  <c:v>196.511875093372</c:v>
                </c:pt>
                <c:pt idx="10">
                  <c:v>196.184580353287</c:v>
                </c:pt>
                <c:pt idx="11">
                  <c:v>195.891034672199</c:v>
                </c:pt>
                <c:pt idx="12">
                  <c:v>195.643498619681</c:v>
                </c:pt>
                <c:pt idx="13">
                  <c:v>195.45210991050101</c:v>
                </c:pt>
                <c:pt idx="14">
                  <c:v>195.324016933281</c:v>
                </c:pt>
                <c:pt idx="15">
                  <c:v>195.26251227914</c:v>
                </c:pt>
                <c:pt idx="16">
                  <c:v>195.271711686983</c:v>
                </c:pt>
                <c:pt idx="17">
                  <c:v>195.35183177464401</c:v>
                </c:pt>
                <c:pt idx="18">
                  <c:v>195.50148618796899</c:v>
                </c:pt>
                <c:pt idx="19">
                  <c:v>195.71608262881301</c:v>
                </c:pt>
                <c:pt idx="20">
                  <c:v>195.990292298387</c:v>
                </c:pt>
                <c:pt idx="21">
                  <c:v>196.31709677877399</c:v>
                </c:pt>
                <c:pt idx="22">
                  <c:v>196.69116727118501</c:v>
                </c:pt>
                <c:pt idx="23">
                  <c:v>197.10622185834799</c:v>
                </c:pt>
                <c:pt idx="24">
                  <c:v>197.55701838860901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C68-4D69-9437-2B7B4B5BEE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9067152"/>
        <c:axId val="539069448"/>
      </c:scatterChart>
      <c:valAx>
        <c:axId val="53906715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9069448"/>
        <c:crosses val="autoZero"/>
        <c:crossBetween val="midCat"/>
      </c:valAx>
      <c:valAx>
        <c:axId val="539069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Officer Strength</a:t>
                </a:r>
                <a:r>
                  <a:rPr lang="en-US" baseline="0"/>
                  <a:t> per 100,000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90671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Authorized police officer strength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3815048118985127"/>
          <c:y val="0.20453703703703704"/>
          <c:w val="0.68867782152230983"/>
          <c:h val="0.58989209682123067"/>
        </c:manualLayout>
      </c:layout>
      <c:scatterChart>
        <c:scatterStyle val="lineMarker"/>
        <c:varyColors val="0"/>
        <c:ser>
          <c:idx val="0"/>
          <c:order val="0"/>
          <c:tx>
            <c:v>Historical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TOTAL!$A$2:$A$32</c:f>
              <c:numCache>
                <c:formatCode>General</c:formatCode>
                <c:ptCount val="31"/>
                <c:pt idx="0">
                  <c:v>1986</c:v>
                </c:pt>
                <c:pt idx="1">
                  <c:v>1987</c:v>
                </c:pt>
                <c:pt idx="2">
                  <c:v>1988</c:v>
                </c:pt>
                <c:pt idx="3">
                  <c:v>1989</c:v>
                </c:pt>
                <c:pt idx="4">
                  <c:v>1990</c:v>
                </c:pt>
                <c:pt idx="5">
                  <c:v>1991</c:v>
                </c:pt>
                <c:pt idx="6">
                  <c:v>1992</c:v>
                </c:pt>
                <c:pt idx="7">
                  <c:v>1993</c:v>
                </c:pt>
                <c:pt idx="8">
                  <c:v>1994</c:v>
                </c:pt>
                <c:pt idx="9">
                  <c:v>1995</c:v>
                </c:pt>
                <c:pt idx="10">
                  <c:v>1996</c:v>
                </c:pt>
                <c:pt idx="11">
                  <c:v>1997</c:v>
                </c:pt>
                <c:pt idx="12">
                  <c:v>1998</c:v>
                </c:pt>
                <c:pt idx="13">
                  <c:v>1999</c:v>
                </c:pt>
                <c:pt idx="14">
                  <c:v>2000</c:v>
                </c:pt>
                <c:pt idx="15">
                  <c:v>2001</c:v>
                </c:pt>
                <c:pt idx="16">
                  <c:v>2002</c:v>
                </c:pt>
                <c:pt idx="17">
                  <c:v>2003</c:v>
                </c:pt>
                <c:pt idx="18">
                  <c:v>2004</c:v>
                </c:pt>
                <c:pt idx="19">
                  <c:v>2005</c:v>
                </c:pt>
                <c:pt idx="20">
                  <c:v>2006</c:v>
                </c:pt>
                <c:pt idx="21">
                  <c:v>2007</c:v>
                </c:pt>
                <c:pt idx="22">
                  <c:v>2008</c:v>
                </c:pt>
                <c:pt idx="23">
                  <c:v>2009</c:v>
                </c:pt>
                <c:pt idx="24">
                  <c:v>2010</c:v>
                </c:pt>
                <c:pt idx="25">
                  <c:v>2011</c:v>
                </c:pt>
                <c:pt idx="26">
                  <c:v>2012</c:v>
                </c:pt>
                <c:pt idx="27">
                  <c:v>2013</c:v>
                </c:pt>
                <c:pt idx="28">
                  <c:v>2014</c:v>
                </c:pt>
                <c:pt idx="29">
                  <c:v>2015</c:v>
                </c:pt>
                <c:pt idx="30">
                  <c:v>2016</c:v>
                </c:pt>
              </c:numCache>
            </c:numRef>
          </c:xVal>
          <c:yVal>
            <c:numRef>
              <c:f>TOTAL!$C$2:$C$32</c:f>
              <c:numCache>
                <c:formatCode>General</c:formatCode>
                <c:ptCount val="31"/>
                <c:pt idx="0">
                  <c:v>23362</c:v>
                </c:pt>
                <c:pt idx="1">
                  <c:v>19149</c:v>
                </c:pt>
                <c:pt idx="2">
                  <c:v>19693</c:v>
                </c:pt>
                <c:pt idx="3">
                  <c:v>23939</c:v>
                </c:pt>
                <c:pt idx="4">
                  <c:v>16815</c:v>
                </c:pt>
                <c:pt idx="5">
                  <c:v>11839</c:v>
                </c:pt>
                <c:pt idx="6">
                  <c:v>18169</c:v>
                </c:pt>
                <c:pt idx="7">
                  <c:v>18610</c:v>
                </c:pt>
                <c:pt idx="8">
                  <c:v>17070</c:v>
                </c:pt>
                <c:pt idx="9">
                  <c:v>12954</c:v>
                </c:pt>
                <c:pt idx="10">
                  <c:v>21613</c:v>
                </c:pt>
                <c:pt idx="11">
                  <c:v>21465</c:v>
                </c:pt>
                <c:pt idx="12">
                  <c:v>21397</c:v>
                </c:pt>
                <c:pt idx="13">
                  <c:v>22528</c:v>
                </c:pt>
                <c:pt idx="14">
                  <c:v>20582</c:v>
                </c:pt>
                <c:pt idx="15">
                  <c:v>23573</c:v>
                </c:pt>
                <c:pt idx="16">
                  <c:v>23919</c:v>
                </c:pt>
                <c:pt idx="17">
                  <c:v>24566</c:v>
                </c:pt>
                <c:pt idx="18">
                  <c:v>24250</c:v>
                </c:pt>
                <c:pt idx="19">
                  <c:v>24385</c:v>
                </c:pt>
                <c:pt idx="20">
                  <c:v>24899</c:v>
                </c:pt>
                <c:pt idx="21">
                  <c:v>25476</c:v>
                </c:pt>
                <c:pt idx="22">
                  <c:v>25794</c:v>
                </c:pt>
                <c:pt idx="23">
                  <c:v>25957</c:v>
                </c:pt>
                <c:pt idx="24">
                  <c:v>26381</c:v>
                </c:pt>
                <c:pt idx="25">
                  <c:v>26419</c:v>
                </c:pt>
                <c:pt idx="26">
                  <c:v>26600</c:v>
                </c:pt>
                <c:pt idx="27">
                  <c:v>26795</c:v>
                </c:pt>
                <c:pt idx="28">
                  <c:v>26639</c:v>
                </c:pt>
                <c:pt idx="29">
                  <c:v>26712</c:v>
                </c:pt>
                <c:pt idx="30">
                  <c:v>26721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C54-4542-9E14-20BEC4270960}"/>
            </c:ext>
          </c:extLst>
        </c:ser>
        <c:ser>
          <c:idx val="1"/>
          <c:order val="1"/>
          <c:tx>
            <c:v>Forecast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TOTAL!$A$32:$A$57</c:f>
              <c:numCache>
                <c:formatCode>General</c:formatCode>
                <c:ptCount val="26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  <c:pt idx="10">
                  <c:v>2026</c:v>
                </c:pt>
                <c:pt idx="11">
                  <c:v>2027</c:v>
                </c:pt>
                <c:pt idx="12">
                  <c:v>2028</c:v>
                </c:pt>
                <c:pt idx="13">
                  <c:v>2029</c:v>
                </c:pt>
                <c:pt idx="14">
                  <c:v>2030</c:v>
                </c:pt>
                <c:pt idx="15">
                  <c:v>2031</c:v>
                </c:pt>
                <c:pt idx="16">
                  <c:v>2032</c:v>
                </c:pt>
                <c:pt idx="17">
                  <c:v>2033</c:v>
                </c:pt>
                <c:pt idx="18">
                  <c:v>2034</c:v>
                </c:pt>
                <c:pt idx="19">
                  <c:v>2035</c:v>
                </c:pt>
                <c:pt idx="20">
                  <c:v>2036</c:v>
                </c:pt>
                <c:pt idx="21">
                  <c:v>2037</c:v>
                </c:pt>
                <c:pt idx="22">
                  <c:v>2038</c:v>
                </c:pt>
                <c:pt idx="23">
                  <c:v>2039</c:v>
                </c:pt>
                <c:pt idx="24">
                  <c:v>2040</c:v>
                </c:pt>
                <c:pt idx="25">
                  <c:v>2041</c:v>
                </c:pt>
              </c:numCache>
            </c:numRef>
          </c:xVal>
          <c:yVal>
            <c:numRef>
              <c:f>TOTAL!$C$33:$C$57</c:f>
              <c:numCache>
                <c:formatCode>General</c:formatCode>
                <c:ptCount val="25"/>
                <c:pt idx="0">
                  <c:v>28189.625816733002</c:v>
                </c:pt>
                <c:pt idx="1">
                  <c:v>28462.707499495689</c:v>
                </c:pt>
                <c:pt idx="2">
                  <c:v>28745.133987312904</c:v>
                </c:pt>
                <c:pt idx="3">
                  <c:v>29032.588600848645</c:v>
                </c:pt>
                <c:pt idx="4">
                  <c:v>29315.343522244701</c:v>
                </c:pt>
                <c:pt idx="5">
                  <c:v>29593.771035105678</c:v>
                </c:pt>
                <c:pt idx="6">
                  <c:v>29868.581237471411</c:v>
                </c:pt>
                <c:pt idx="7">
                  <c:v>30141.17778305275</c:v>
                </c:pt>
                <c:pt idx="8">
                  <c:v>30412.96373877826</c:v>
                </c:pt>
                <c:pt idx="9">
                  <c:v>30684.114852441959</c:v>
                </c:pt>
                <c:pt idx="10">
                  <c:v>30956.31806618979</c:v>
                </c:pt>
                <c:pt idx="11">
                  <c:v>31231.297480947684</c:v>
                </c:pt>
                <c:pt idx="12">
                  <c:v>31510.647091543666</c:v>
                </c:pt>
                <c:pt idx="13">
                  <c:v>31795.791562879167</c:v>
                </c:pt>
                <c:pt idx="14">
                  <c:v>32087.862706882283</c:v>
                </c:pt>
                <c:pt idx="15">
                  <c:v>32387.568071701658</c:v>
                </c:pt>
                <c:pt idx="16">
                  <c:v>32695.731069621655</c:v>
                </c:pt>
                <c:pt idx="17">
                  <c:v>33012.711171020455</c:v>
                </c:pt>
                <c:pt idx="18">
                  <c:v>33338.661208058991</c:v>
                </c:pt>
                <c:pt idx="19">
                  <c:v>33673.312133879321</c:v>
                </c:pt>
                <c:pt idx="20">
                  <c:v>34016.267201794501</c:v>
                </c:pt>
                <c:pt idx="21">
                  <c:v>34366.874401556684</c:v>
                </c:pt>
                <c:pt idx="22">
                  <c:v>34724.659203105795</c:v>
                </c:pt>
                <c:pt idx="23">
                  <c:v>35088.987589578406</c:v>
                </c:pt>
                <c:pt idx="24">
                  <c:v>35459.327478114516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C54-4542-9E14-20BEC42709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9067152"/>
        <c:axId val="539069448"/>
      </c:scatterChart>
      <c:valAx>
        <c:axId val="53906715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9069448"/>
        <c:crosses val="autoZero"/>
        <c:crossBetween val="midCat"/>
      </c:valAx>
      <c:valAx>
        <c:axId val="539069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# of Officers</a:t>
                </a:r>
                <a:endParaRPr lang="en-US" baseline="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90671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Number</a:t>
            </a:r>
            <a:r>
              <a:rPr lang="en-US" baseline="0"/>
              <a:t> of Police Officers Required </a:t>
            </a:r>
          </a:p>
          <a:p>
            <a:pPr>
              <a:defRPr/>
            </a:pPr>
            <a:r>
              <a:rPr lang="en-US"/>
              <a:t>2017 - 2041</a:t>
            </a:r>
            <a:r>
              <a:rPr lang="en-US" baseline="0"/>
              <a:t> </a:t>
            </a:r>
            <a:r>
              <a:rPr lang="en-US"/>
              <a:t>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GenderMinorityAnalysis!$D$1</c:f>
              <c:strCache>
                <c:ptCount val="1"/>
                <c:pt idx="0">
                  <c:v>Number of Police Needed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GenderMinorityAnalysis!$A$2:$A$26</c:f>
              <c:numCache>
                <c:formatCode>General</c:formatCode>
                <c:ptCount val="25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  <c:pt idx="7">
                  <c:v>2024</c:v>
                </c:pt>
                <c:pt idx="8">
                  <c:v>2025</c:v>
                </c:pt>
                <c:pt idx="9">
                  <c:v>2026</c:v>
                </c:pt>
                <c:pt idx="10">
                  <c:v>2027</c:v>
                </c:pt>
                <c:pt idx="11">
                  <c:v>2028</c:v>
                </c:pt>
                <c:pt idx="12">
                  <c:v>2029</c:v>
                </c:pt>
                <c:pt idx="13">
                  <c:v>2030</c:v>
                </c:pt>
                <c:pt idx="14">
                  <c:v>2031</c:v>
                </c:pt>
                <c:pt idx="15">
                  <c:v>2032</c:v>
                </c:pt>
                <c:pt idx="16">
                  <c:v>2033</c:v>
                </c:pt>
                <c:pt idx="17">
                  <c:v>2034</c:v>
                </c:pt>
                <c:pt idx="18">
                  <c:v>2035</c:v>
                </c:pt>
                <c:pt idx="19">
                  <c:v>2036</c:v>
                </c:pt>
                <c:pt idx="20">
                  <c:v>2037</c:v>
                </c:pt>
                <c:pt idx="21">
                  <c:v>2038</c:v>
                </c:pt>
                <c:pt idx="22">
                  <c:v>2039</c:v>
                </c:pt>
                <c:pt idx="23">
                  <c:v>2040</c:v>
                </c:pt>
                <c:pt idx="24">
                  <c:v>2041</c:v>
                </c:pt>
              </c:numCache>
            </c:numRef>
          </c:xVal>
          <c:yVal>
            <c:numRef>
              <c:f>GenderMinorityAnalysis!$D$2:$D$26</c:f>
              <c:numCache>
                <c:formatCode>General</c:formatCode>
                <c:ptCount val="25"/>
                <c:pt idx="0">
                  <c:v>28189.625816733002</c:v>
                </c:pt>
                <c:pt idx="1">
                  <c:v>28462.707499495689</c:v>
                </c:pt>
                <c:pt idx="2">
                  <c:v>28745.133987312904</c:v>
                </c:pt>
                <c:pt idx="3">
                  <c:v>29032.588600848645</c:v>
                </c:pt>
                <c:pt idx="4">
                  <c:v>29315.343522244701</c:v>
                </c:pt>
                <c:pt idx="5">
                  <c:v>29593.771035105678</c:v>
                </c:pt>
                <c:pt idx="6">
                  <c:v>29868.581237471411</c:v>
                </c:pt>
                <c:pt idx="7">
                  <c:v>30141.17778305275</c:v>
                </c:pt>
                <c:pt idx="8">
                  <c:v>30412.96373877826</c:v>
                </c:pt>
                <c:pt idx="9">
                  <c:v>30684.114852441959</c:v>
                </c:pt>
                <c:pt idx="10">
                  <c:v>30956.31806618979</c:v>
                </c:pt>
                <c:pt idx="11">
                  <c:v>31231.297480947684</c:v>
                </c:pt>
                <c:pt idx="12">
                  <c:v>31510.647091543666</c:v>
                </c:pt>
                <c:pt idx="13">
                  <c:v>31795.791562879167</c:v>
                </c:pt>
                <c:pt idx="14">
                  <c:v>32087.862706882283</c:v>
                </c:pt>
                <c:pt idx="15">
                  <c:v>32387.568071701658</c:v>
                </c:pt>
                <c:pt idx="16">
                  <c:v>32695.731069621655</c:v>
                </c:pt>
                <c:pt idx="17">
                  <c:v>33012.711171020455</c:v>
                </c:pt>
                <c:pt idx="18">
                  <c:v>33338.661208058991</c:v>
                </c:pt>
                <c:pt idx="19">
                  <c:v>33673.312133879321</c:v>
                </c:pt>
                <c:pt idx="20">
                  <c:v>34016.267201794501</c:v>
                </c:pt>
                <c:pt idx="21">
                  <c:v>34366.874401556684</c:v>
                </c:pt>
                <c:pt idx="22">
                  <c:v>34724.659203105795</c:v>
                </c:pt>
                <c:pt idx="23">
                  <c:v>35088.987589578406</c:v>
                </c:pt>
                <c:pt idx="24">
                  <c:v>35459.327478114516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739-4531-ADE7-1D6EA3C7F2B7}"/>
            </c:ext>
          </c:extLst>
        </c:ser>
        <c:ser>
          <c:idx val="1"/>
          <c:order val="1"/>
          <c:tx>
            <c:strRef>
              <c:f>GenderMinorityAnalysis!$H$1</c:f>
              <c:strCache>
                <c:ptCount val="1"/>
                <c:pt idx="0">
                  <c:v>Number of minority police officers need 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GenderMinorityAnalysis!$A$2:$A$26</c:f>
              <c:numCache>
                <c:formatCode>General</c:formatCode>
                <c:ptCount val="25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  <c:pt idx="7">
                  <c:v>2024</c:v>
                </c:pt>
                <c:pt idx="8">
                  <c:v>2025</c:v>
                </c:pt>
                <c:pt idx="9">
                  <c:v>2026</c:v>
                </c:pt>
                <c:pt idx="10">
                  <c:v>2027</c:v>
                </c:pt>
                <c:pt idx="11">
                  <c:v>2028</c:v>
                </c:pt>
                <c:pt idx="12">
                  <c:v>2029</c:v>
                </c:pt>
                <c:pt idx="13">
                  <c:v>2030</c:v>
                </c:pt>
                <c:pt idx="14">
                  <c:v>2031</c:v>
                </c:pt>
                <c:pt idx="15">
                  <c:v>2032</c:v>
                </c:pt>
                <c:pt idx="16">
                  <c:v>2033</c:v>
                </c:pt>
                <c:pt idx="17">
                  <c:v>2034</c:v>
                </c:pt>
                <c:pt idx="18">
                  <c:v>2035</c:v>
                </c:pt>
                <c:pt idx="19">
                  <c:v>2036</c:v>
                </c:pt>
                <c:pt idx="20">
                  <c:v>2037</c:v>
                </c:pt>
                <c:pt idx="21">
                  <c:v>2038</c:v>
                </c:pt>
                <c:pt idx="22">
                  <c:v>2039</c:v>
                </c:pt>
                <c:pt idx="23">
                  <c:v>2040</c:v>
                </c:pt>
                <c:pt idx="24">
                  <c:v>2041</c:v>
                </c:pt>
              </c:numCache>
            </c:numRef>
          </c:xVal>
          <c:yVal>
            <c:numRef>
              <c:f>GenderMinorityAnalysis!$H$2:$H$26</c:f>
              <c:numCache>
                <c:formatCode>General</c:formatCode>
                <c:ptCount val="25"/>
                <c:pt idx="0">
                  <c:v>3016.2899623904309</c:v>
                </c:pt>
                <c:pt idx="1">
                  <c:v>3392.9919231690487</c:v>
                </c:pt>
                <c:pt idx="2">
                  <c:v>3777.5896914993714</c:v>
                </c:pt>
                <c:pt idx="3">
                  <c:v>4169.8055377968867</c:v>
                </c:pt>
                <c:pt idx="4">
                  <c:v>4568.3076988831326</c:v>
                </c:pt>
                <c:pt idx="5">
                  <c:v>4972.9866076908829</c:v>
                </c:pt>
                <c:pt idx="6">
                  <c:v>5383.8117680542209</c:v>
                </c:pt>
                <c:pt idx="7">
                  <c:v>5800.9208408300256</c:v>
                </c:pt>
                <c:pt idx="8">
                  <c:v>6224.5199118699493</c:v>
                </c:pt>
                <c:pt idx="9">
                  <c:v>6654.6174086233477</c:v>
                </c:pt>
                <c:pt idx="10">
                  <c:v>7091.5765303296421</c:v>
                </c:pt>
                <c:pt idx="11">
                  <c:v>7535.8518213403322</c:v>
                </c:pt>
                <c:pt idx="12">
                  <c:v>7987.9490377063157</c:v>
                </c:pt>
                <c:pt idx="13">
                  <c:v>8448.4067831866814</c:v>
                </c:pt>
                <c:pt idx="14">
                  <c:v>8917.7518439543637</c:v>
                </c:pt>
                <c:pt idx="15">
                  <c:v>9396.4431868024385</c:v>
                </c:pt>
                <c:pt idx="16">
                  <c:v>9885.0093600489417</c:v>
                </c:pt>
                <c:pt idx="17">
                  <c:v>10383.873192918054</c:v>
                </c:pt>
                <c:pt idx="18">
                  <c:v>10893.407549733269</c:v>
                </c:pt>
                <c:pt idx="19">
                  <c:v>11413.849758712839</c:v>
                </c:pt>
                <c:pt idx="20">
                  <c:v>11945.379165696828</c:v>
                </c:pt>
                <c:pt idx="21">
                  <c:v>12488.062985665652</c:v>
                </c:pt>
                <c:pt idx="22">
                  <c:v>13042.003252366478</c:v>
                </c:pt>
                <c:pt idx="23">
                  <c:v>13607.216979008585</c:v>
                </c:pt>
                <c:pt idx="24">
                  <c:v>14183.730991245808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739-4531-ADE7-1D6EA3C7F2B7}"/>
            </c:ext>
          </c:extLst>
        </c:ser>
        <c:ser>
          <c:idx val="2"/>
          <c:order val="2"/>
          <c:tx>
            <c:strRef>
              <c:f>GenderMinorityAnalysis!$I$1</c:f>
              <c:strCache>
                <c:ptCount val="1"/>
                <c:pt idx="0">
                  <c:v>Number of women police officers need 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GenderMinorityAnalysis!$A$2:$A$26</c:f>
              <c:numCache>
                <c:formatCode>General</c:formatCode>
                <c:ptCount val="25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  <c:pt idx="7">
                  <c:v>2024</c:v>
                </c:pt>
                <c:pt idx="8">
                  <c:v>2025</c:v>
                </c:pt>
                <c:pt idx="9">
                  <c:v>2026</c:v>
                </c:pt>
                <c:pt idx="10">
                  <c:v>2027</c:v>
                </c:pt>
                <c:pt idx="11">
                  <c:v>2028</c:v>
                </c:pt>
                <c:pt idx="12">
                  <c:v>2029</c:v>
                </c:pt>
                <c:pt idx="13">
                  <c:v>2030</c:v>
                </c:pt>
                <c:pt idx="14">
                  <c:v>2031</c:v>
                </c:pt>
                <c:pt idx="15">
                  <c:v>2032</c:v>
                </c:pt>
                <c:pt idx="16">
                  <c:v>2033</c:v>
                </c:pt>
                <c:pt idx="17">
                  <c:v>2034</c:v>
                </c:pt>
                <c:pt idx="18">
                  <c:v>2035</c:v>
                </c:pt>
                <c:pt idx="19">
                  <c:v>2036</c:v>
                </c:pt>
                <c:pt idx="20">
                  <c:v>2037</c:v>
                </c:pt>
                <c:pt idx="21">
                  <c:v>2038</c:v>
                </c:pt>
                <c:pt idx="22">
                  <c:v>2039</c:v>
                </c:pt>
                <c:pt idx="23">
                  <c:v>2040</c:v>
                </c:pt>
                <c:pt idx="24">
                  <c:v>2041</c:v>
                </c:pt>
              </c:numCache>
            </c:numRef>
          </c:xVal>
          <c:yVal>
            <c:numRef>
              <c:f>GenderMinorityAnalysis!$I$2:$I$26</c:f>
              <c:numCache>
                <c:formatCode>General</c:formatCode>
                <c:ptCount val="25"/>
                <c:pt idx="0">
                  <c:v>6201.7176796812601</c:v>
                </c:pt>
                <c:pt idx="1">
                  <c:v>6475.2659561352693</c:v>
                </c:pt>
                <c:pt idx="2">
                  <c:v>6755.1064870185328</c:v>
                </c:pt>
                <c:pt idx="3">
                  <c:v>7040.4027357057967</c:v>
                </c:pt>
                <c:pt idx="4">
                  <c:v>7328.8358805611751</c:v>
                </c:pt>
                <c:pt idx="5">
                  <c:v>7620.3960415397123</c:v>
                </c:pt>
                <c:pt idx="6">
                  <c:v>7915.1740279299247</c:v>
                </c:pt>
                <c:pt idx="7">
                  <c:v>8213.4709458818743</c:v>
                </c:pt>
                <c:pt idx="8">
                  <c:v>8515.6298468579134</c:v>
                </c:pt>
                <c:pt idx="9">
                  <c:v>8821.6830200770637</c:v>
                </c:pt>
                <c:pt idx="10">
                  <c:v>9132.1138295259898</c:v>
                </c:pt>
                <c:pt idx="11">
                  <c:v>9447.4674879866761</c:v>
                </c:pt>
                <c:pt idx="12">
                  <c:v>9768.3005983785388</c:v>
                </c:pt>
                <c:pt idx="13">
                  <c:v>10095.163821214137</c:v>
                </c:pt>
                <c:pt idx="14">
                  <c:v>10428.555379736745</c:v>
                </c:pt>
                <c:pt idx="15">
                  <c:v>10768.866383840805</c:v>
                </c:pt>
                <c:pt idx="16">
                  <c:v>11116.548563671366</c:v>
                </c:pt>
                <c:pt idx="17">
                  <c:v>11471.917131929611</c:v>
                </c:pt>
                <c:pt idx="18">
                  <c:v>11835.224728860945</c:v>
                </c:pt>
                <c:pt idx="19">
                  <c:v>12206.575648531258</c:v>
                </c:pt>
                <c:pt idx="20">
                  <c:v>12586.018864663969</c:v>
                </c:pt>
                <c:pt idx="21">
                  <c:v>12973.495086587653</c:v>
                </c:pt>
                <c:pt idx="22">
                  <c:v>13368.993793195736</c:v>
                </c:pt>
                <c:pt idx="23">
                  <c:v>13772.427628909529</c:v>
                </c:pt>
                <c:pt idx="24">
                  <c:v>14183.730991245808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739-4531-ADE7-1D6EA3C7F2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6866632"/>
        <c:axId val="536870240"/>
      </c:scatterChart>
      <c:valAx>
        <c:axId val="5368666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6870240"/>
        <c:crosses val="autoZero"/>
        <c:crossBetween val="midCat"/>
      </c:valAx>
      <c:valAx>
        <c:axId val="536870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686663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106680</xdr:colOff>
      <xdr:row>3</xdr:row>
      <xdr:rowOff>97155</xdr:rowOff>
    </xdr:from>
    <xdr:to>
      <xdr:col>16</xdr:col>
      <xdr:colOff>198120</xdr:colOff>
      <xdr:row>18</xdr:row>
      <xdr:rowOff>97155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FD83160-2A95-4AC2-9338-2105D4D2D32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95250</xdr:colOff>
      <xdr:row>18</xdr:row>
      <xdr:rowOff>137160</xdr:rowOff>
    </xdr:from>
    <xdr:to>
      <xdr:col>16</xdr:col>
      <xdr:colOff>186690</xdr:colOff>
      <xdr:row>33</xdr:row>
      <xdr:rowOff>137160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8001275-68F0-4468-93CB-E424F21F4C5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80010</xdr:colOff>
      <xdr:row>34</xdr:row>
      <xdr:rowOff>133350</xdr:rowOff>
    </xdr:from>
    <xdr:to>
      <xdr:col>16</xdr:col>
      <xdr:colOff>171450</xdr:colOff>
      <xdr:row>49</xdr:row>
      <xdr:rowOff>133350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70192FF-9338-488E-BB54-55FF9AF5B9C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137160</xdr:colOff>
      <xdr:row>2</xdr:row>
      <xdr:rowOff>17145</xdr:rowOff>
    </xdr:from>
    <xdr:to>
      <xdr:col>16</xdr:col>
      <xdr:colOff>228600</xdr:colOff>
      <xdr:row>17</xdr:row>
      <xdr:rowOff>17145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21E359BD-B5C9-4B51-AB12-7A7258369EF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7"/>
  <sheetViews>
    <sheetView topLeftCell="A13" zoomScale="70" zoomScaleNormal="70" workbookViewId="0">
      <selection activeCell="E42" sqref="E42"/>
    </sheetView>
  </sheetViews>
  <sheetFormatPr defaultRowHeight="14.4" x14ac:dyDescent="0.55000000000000004"/>
  <sheetData>
    <row r="1" spans="1:4" x14ac:dyDescent="0.55000000000000004">
      <c r="A1" t="s">
        <v>0</v>
      </c>
      <c r="B1" t="s">
        <v>10</v>
      </c>
      <c r="C1" t="s">
        <v>9</v>
      </c>
      <c r="D1" t="s">
        <v>8</v>
      </c>
    </row>
    <row r="2" spans="1:4" x14ac:dyDescent="0.55000000000000004">
      <c r="A2">
        <v>1986</v>
      </c>
      <c r="B2">
        <v>247.5</v>
      </c>
      <c r="C2">
        <v>23362</v>
      </c>
      <c r="D2">
        <v>9437359</v>
      </c>
    </row>
    <row r="3" spans="1:4" x14ac:dyDescent="0.55000000000000004">
      <c r="A3">
        <v>1987</v>
      </c>
      <c r="B3">
        <v>198.6</v>
      </c>
      <c r="C3">
        <v>19149</v>
      </c>
      <c r="D3">
        <v>9637945</v>
      </c>
    </row>
    <row r="4" spans="1:4" x14ac:dyDescent="0.55000000000000004">
      <c r="A4">
        <v>1988</v>
      </c>
      <c r="B4">
        <v>200.1</v>
      </c>
      <c r="C4">
        <v>19693</v>
      </c>
      <c r="D4">
        <v>9838620</v>
      </c>
    </row>
    <row r="5" spans="1:4" x14ac:dyDescent="0.55000000000000004">
      <c r="A5">
        <v>1989</v>
      </c>
      <c r="B5">
        <v>236.8</v>
      </c>
      <c r="C5">
        <v>23939</v>
      </c>
      <c r="D5">
        <v>10103305</v>
      </c>
    </row>
    <row r="6" spans="1:4" x14ac:dyDescent="0.55000000000000004">
      <c r="A6">
        <v>1990</v>
      </c>
      <c r="B6">
        <v>163.30000000000001</v>
      </c>
      <c r="C6">
        <v>16815</v>
      </c>
      <c r="D6">
        <v>10295832</v>
      </c>
    </row>
    <row r="7" spans="1:4" x14ac:dyDescent="0.55000000000000004">
      <c r="A7">
        <v>1991</v>
      </c>
      <c r="B7">
        <v>113.5</v>
      </c>
      <c r="C7">
        <v>11839</v>
      </c>
      <c r="D7">
        <v>10431316</v>
      </c>
    </row>
    <row r="8" spans="1:4" x14ac:dyDescent="0.55000000000000004">
      <c r="A8">
        <v>1992</v>
      </c>
      <c r="B8">
        <v>171.9</v>
      </c>
      <c r="C8">
        <v>18169</v>
      </c>
      <c r="D8">
        <v>10572205</v>
      </c>
    </row>
    <row r="9" spans="1:4" x14ac:dyDescent="0.55000000000000004">
      <c r="A9">
        <v>1993</v>
      </c>
      <c r="B9">
        <v>174.1</v>
      </c>
      <c r="C9">
        <v>18610</v>
      </c>
      <c r="D9">
        <v>10690038</v>
      </c>
    </row>
    <row r="10" spans="1:4" x14ac:dyDescent="0.55000000000000004">
      <c r="A10">
        <v>1994</v>
      </c>
      <c r="B10">
        <v>157.80000000000001</v>
      </c>
      <c r="C10">
        <v>17070</v>
      </c>
      <c r="D10">
        <v>10819146</v>
      </c>
    </row>
    <row r="11" spans="1:4" x14ac:dyDescent="0.55000000000000004">
      <c r="A11">
        <v>1995</v>
      </c>
      <c r="B11">
        <v>118.3</v>
      </c>
      <c r="C11">
        <v>12954</v>
      </c>
      <c r="D11">
        <v>10950119</v>
      </c>
    </row>
    <row r="12" spans="1:4" x14ac:dyDescent="0.55000000000000004">
      <c r="A12">
        <v>1996</v>
      </c>
      <c r="B12">
        <v>195</v>
      </c>
      <c r="C12">
        <v>21613</v>
      </c>
      <c r="D12">
        <v>11082903</v>
      </c>
    </row>
    <row r="13" spans="1:4" x14ac:dyDescent="0.55000000000000004">
      <c r="A13">
        <v>1997</v>
      </c>
      <c r="B13">
        <v>191.2</v>
      </c>
      <c r="C13">
        <v>21465</v>
      </c>
      <c r="D13">
        <v>11227651</v>
      </c>
    </row>
    <row r="14" spans="1:4" x14ac:dyDescent="0.55000000000000004">
      <c r="A14">
        <v>1998</v>
      </c>
      <c r="B14">
        <v>188.2</v>
      </c>
      <c r="C14">
        <v>21397</v>
      </c>
      <c r="D14">
        <v>11365901</v>
      </c>
    </row>
    <row r="15" spans="1:4" x14ac:dyDescent="0.55000000000000004">
      <c r="A15">
        <v>1999</v>
      </c>
      <c r="B15">
        <v>195.8</v>
      </c>
      <c r="C15">
        <v>22528</v>
      </c>
      <c r="D15">
        <v>11504759</v>
      </c>
    </row>
    <row r="16" spans="1:4" x14ac:dyDescent="0.55000000000000004">
      <c r="A16">
        <v>2000</v>
      </c>
      <c r="B16">
        <v>176.1</v>
      </c>
      <c r="C16">
        <v>20582</v>
      </c>
      <c r="D16">
        <v>11683290</v>
      </c>
    </row>
    <row r="17" spans="1:4" x14ac:dyDescent="0.55000000000000004">
      <c r="A17">
        <v>2001</v>
      </c>
      <c r="B17">
        <v>198.1</v>
      </c>
      <c r="C17">
        <v>23573</v>
      </c>
      <c r="D17">
        <v>11897370</v>
      </c>
    </row>
    <row r="18" spans="1:4" x14ac:dyDescent="0.55000000000000004">
      <c r="A18">
        <v>2002</v>
      </c>
      <c r="B18">
        <v>197.8</v>
      </c>
      <c r="C18">
        <v>23919</v>
      </c>
      <c r="D18">
        <v>12093299</v>
      </c>
    </row>
    <row r="19" spans="1:4" x14ac:dyDescent="0.55000000000000004">
      <c r="A19">
        <v>2003</v>
      </c>
      <c r="B19">
        <v>200.7</v>
      </c>
      <c r="C19">
        <v>24566</v>
      </c>
      <c r="D19">
        <v>12243758</v>
      </c>
    </row>
    <row r="20" spans="1:4" x14ac:dyDescent="0.55000000000000004">
      <c r="A20">
        <v>2004</v>
      </c>
      <c r="B20">
        <v>195.7</v>
      </c>
      <c r="C20">
        <v>24250</v>
      </c>
      <c r="D20">
        <v>12390068</v>
      </c>
    </row>
    <row r="21" spans="1:4" x14ac:dyDescent="0.55000000000000004">
      <c r="A21">
        <v>2005</v>
      </c>
      <c r="B21">
        <v>194.6</v>
      </c>
      <c r="C21">
        <v>24385</v>
      </c>
      <c r="D21">
        <v>12527990</v>
      </c>
    </row>
    <row r="22" spans="1:4" x14ac:dyDescent="0.55000000000000004">
      <c r="A22">
        <v>2006</v>
      </c>
      <c r="B22">
        <v>196.7</v>
      </c>
      <c r="C22">
        <v>24899</v>
      </c>
      <c r="D22">
        <v>12661566</v>
      </c>
    </row>
    <row r="23" spans="1:4" x14ac:dyDescent="0.55000000000000004">
      <c r="A23">
        <v>2007</v>
      </c>
      <c r="B23">
        <v>199.6</v>
      </c>
      <c r="C23">
        <v>25476</v>
      </c>
      <c r="D23">
        <v>12764195</v>
      </c>
    </row>
    <row r="24" spans="1:4" x14ac:dyDescent="0.55000000000000004">
      <c r="A24">
        <v>2008</v>
      </c>
      <c r="B24">
        <v>200.2</v>
      </c>
      <c r="C24">
        <v>25794</v>
      </c>
      <c r="D24">
        <v>12882625</v>
      </c>
    </row>
    <row r="25" spans="1:4" x14ac:dyDescent="0.55000000000000004">
      <c r="A25">
        <v>2009</v>
      </c>
      <c r="B25">
        <v>199.7</v>
      </c>
      <c r="C25">
        <v>25957</v>
      </c>
      <c r="D25">
        <v>12997687</v>
      </c>
    </row>
    <row r="26" spans="1:4" x14ac:dyDescent="0.55000000000000004">
      <c r="A26">
        <v>2010</v>
      </c>
      <c r="B26">
        <v>200.8</v>
      </c>
      <c r="C26">
        <v>26381</v>
      </c>
      <c r="D26">
        <v>13135063</v>
      </c>
    </row>
    <row r="27" spans="1:4" x14ac:dyDescent="0.55000000000000004">
      <c r="A27">
        <v>2011</v>
      </c>
      <c r="B27">
        <v>199.2</v>
      </c>
      <c r="C27">
        <v>26419</v>
      </c>
      <c r="D27">
        <v>13263544</v>
      </c>
    </row>
    <row r="28" spans="1:4" x14ac:dyDescent="0.55000000000000004">
      <c r="A28">
        <v>2012</v>
      </c>
      <c r="B28">
        <v>198.3</v>
      </c>
      <c r="C28">
        <v>26600</v>
      </c>
      <c r="D28">
        <v>13413702</v>
      </c>
    </row>
    <row r="29" spans="1:4" x14ac:dyDescent="0.55000000000000004">
      <c r="A29">
        <v>2013</v>
      </c>
      <c r="B29">
        <v>197.7</v>
      </c>
      <c r="C29">
        <v>26795</v>
      </c>
      <c r="D29">
        <v>13555754</v>
      </c>
    </row>
    <row r="30" spans="1:4" x14ac:dyDescent="0.55000000000000004">
      <c r="A30">
        <v>2014</v>
      </c>
      <c r="B30">
        <v>194.7</v>
      </c>
      <c r="C30">
        <v>26639</v>
      </c>
      <c r="D30">
        <v>13680425</v>
      </c>
    </row>
    <row r="31" spans="1:4" x14ac:dyDescent="0.55000000000000004">
      <c r="A31">
        <v>2015</v>
      </c>
      <c r="B31">
        <v>193.7</v>
      </c>
      <c r="C31">
        <v>26712</v>
      </c>
      <c r="D31">
        <v>13789597</v>
      </c>
    </row>
    <row r="32" spans="1:4" x14ac:dyDescent="0.55000000000000004">
      <c r="A32">
        <v>2016</v>
      </c>
      <c r="B32">
        <v>191.2</v>
      </c>
      <c r="C32">
        <v>26721</v>
      </c>
      <c r="D32">
        <v>13976320</v>
      </c>
    </row>
    <row r="33" spans="1:6" x14ac:dyDescent="0.55000000000000004">
      <c r="A33">
        <v>2017</v>
      </c>
      <c r="B33">
        <v>199.498295231057</v>
      </c>
      <c r="C33">
        <v>28189.625816733002</v>
      </c>
      <c r="D33">
        <v>14130259</v>
      </c>
      <c r="E33">
        <f>D57-D32</f>
        <v>3972588</v>
      </c>
      <c r="F33">
        <f>C37-C32</f>
        <v>2594.3435222447006</v>
      </c>
    </row>
    <row r="34" spans="1:6" x14ac:dyDescent="0.55000000000000004">
      <c r="A34">
        <v>2018</v>
      </c>
      <c r="B34">
        <v>199.079241175237</v>
      </c>
      <c r="C34">
        <v>28462.707499495689</v>
      </c>
      <c r="D34">
        <v>14297175</v>
      </c>
      <c r="E34">
        <f>E33/D32</f>
        <v>0.28423705238574959</v>
      </c>
    </row>
    <row r="35" spans="1:6" x14ac:dyDescent="0.55000000000000004">
      <c r="A35">
        <v>2019</v>
      </c>
      <c r="B35">
        <v>198.76897259713601</v>
      </c>
      <c r="C35">
        <v>28745.133987312904</v>
      </c>
      <c r="D35">
        <v>14461580</v>
      </c>
    </row>
    <row r="36" spans="1:6" x14ac:dyDescent="0.55000000000000004">
      <c r="A36">
        <v>2020</v>
      </c>
      <c r="B36">
        <v>198.51892377770901</v>
      </c>
      <c r="C36">
        <v>29032.588600848645</v>
      </c>
      <c r="D36">
        <v>14624595</v>
      </c>
    </row>
    <row r="37" spans="1:6" x14ac:dyDescent="0.55000000000000004">
      <c r="A37">
        <v>2021</v>
      </c>
      <c r="B37">
        <v>198.23083686611301</v>
      </c>
      <c r="C37">
        <v>29315.343522244701</v>
      </c>
      <c r="D37">
        <v>14788488</v>
      </c>
    </row>
    <row r="38" spans="1:6" x14ac:dyDescent="0.55000000000000004">
      <c r="A38">
        <v>2022</v>
      </c>
      <c r="B38">
        <v>197.91017063183801</v>
      </c>
      <c r="C38">
        <v>29593.771035105678</v>
      </c>
      <c r="D38">
        <v>14953133</v>
      </c>
    </row>
    <row r="39" spans="1:6" x14ac:dyDescent="0.55000000000000004">
      <c r="A39">
        <v>2023</v>
      </c>
      <c r="B39">
        <v>197.56524319982401</v>
      </c>
      <c r="C39">
        <v>29868.581237471411</v>
      </c>
      <c r="D39">
        <v>15118338</v>
      </c>
    </row>
    <row r="40" spans="1:6" x14ac:dyDescent="0.55000000000000004">
      <c r="A40">
        <v>2024</v>
      </c>
      <c r="B40">
        <v>197.21030802374301</v>
      </c>
      <c r="C40">
        <v>30141.17778305275</v>
      </c>
      <c r="D40">
        <v>15283774</v>
      </c>
    </row>
    <row r="41" spans="1:6" x14ac:dyDescent="0.55000000000000004">
      <c r="A41">
        <v>2025</v>
      </c>
      <c r="B41">
        <v>196.858708762351</v>
      </c>
      <c r="C41">
        <v>30412.96373877826</v>
      </c>
      <c r="D41">
        <v>15449133</v>
      </c>
    </row>
    <row r="42" spans="1:6" x14ac:dyDescent="0.55000000000000004">
      <c r="A42">
        <v>2026</v>
      </c>
      <c r="B42">
        <v>196.511875093372</v>
      </c>
      <c r="C42">
        <v>30684.114852441959</v>
      </c>
      <c r="D42">
        <v>15614382</v>
      </c>
    </row>
    <row r="43" spans="1:6" x14ac:dyDescent="0.55000000000000004">
      <c r="A43">
        <v>2027</v>
      </c>
      <c r="B43">
        <v>196.184580353287</v>
      </c>
      <c r="C43">
        <v>30956.31806618979</v>
      </c>
      <c r="D43">
        <v>15779180</v>
      </c>
    </row>
    <row r="44" spans="1:6" x14ac:dyDescent="0.55000000000000004">
      <c r="A44">
        <v>2028</v>
      </c>
      <c r="B44">
        <v>195.891034672199</v>
      </c>
      <c r="C44">
        <v>31231.297480947684</v>
      </c>
      <c r="D44">
        <v>15943199</v>
      </c>
    </row>
    <row r="45" spans="1:6" x14ac:dyDescent="0.55000000000000004">
      <c r="A45">
        <v>2029</v>
      </c>
      <c r="B45">
        <v>195.643498619681</v>
      </c>
      <c r="C45">
        <v>31510.647091543666</v>
      </c>
      <c r="D45">
        <v>16106156</v>
      </c>
    </row>
    <row r="46" spans="1:6" x14ac:dyDescent="0.55000000000000004">
      <c r="A46">
        <v>2030</v>
      </c>
      <c r="B46">
        <v>195.45210991050101</v>
      </c>
      <c r="C46">
        <v>31795.791562879167</v>
      </c>
      <c r="D46">
        <v>16267817</v>
      </c>
    </row>
    <row r="47" spans="1:6" x14ac:dyDescent="0.55000000000000004">
      <c r="A47">
        <v>2031</v>
      </c>
      <c r="B47">
        <v>195.324016933281</v>
      </c>
      <c r="C47">
        <v>32087.862706882283</v>
      </c>
      <c r="D47">
        <v>16428017</v>
      </c>
    </row>
    <row r="48" spans="1:6" x14ac:dyDescent="0.55000000000000004">
      <c r="A48">
        <v>2032</v>
      </c>
      <c r="B48">
        <v>195.26251227914</v>
      </c>
      <c r="C48">
        <v>32387.568071701658</v>
      </c>
      <c r="D48">
        <v>16586680</v>
      </c>
    </row>
    <row r="49" spans="1:4" x14ac:dyDescent="0.55000000000000004">
      <c r="A49">
        <v>2033</v>
      </c>
      <c r="B49">
        <v>195.271711686983</v>
      </c>
      <c r="C49">
        <v>32695.731069621655</v>
      </c>
      <c r="D49">
        <v>16743711</v>
      </c>
    </row>
    <row r="50" spans="1:4" x14ac:dyDescent="0.55000000000000004">
      <c r="A50">
        <v>2034</v>
      </c>
      <c r="B50">
        <v>195.35183177464401</v>
      </c>
      <c r="C50">
        <v>33012.711171020455</v>
      </c>
      <c r="D50">
        <v>16899105</v>
      </c>
    </row>
    <row r="51" spans="1:4" x14ac:dyDescent="0.55000000000000004">
      <c r="A51">
        <v>2035</v>
      </c>
      <c r="B51">
        <v>195.50148618796899</v>
      </c>
      <c r="C51">
        <v>33338.661208058991</v>
      </c>
      <c r="D51">
        <v>17052894</v>
      </c>
    </row>
    <row r="52" spans="1:4" x14ac:dyDescent="0.55000000000000004">
      <c r="A52">
        <v>2036</v>
      </c>
      <c r="B52">
        <v>195.71608262881301</v>
      </c>
      <c r="C52">
        <v>33673.312133879321</v>
      </c>
      <c r="D52">
        <v>17205184</v>
      </c>
    </row>
    <row r="53" spans="1:4" x14ac:dyDescent="0.55000000000000004">
      <c r="A53">
        <v>2037</v>
      </c>
      <c r="B53">
        <v>195.990292298387</v>
      </c>
      <c r="C53">
        <v>34016.267201794501</v>
      </c>
      <c r="D53">
        <v>17356098</v>
      </c>
    </row>
    <row r="54" spans="1:4" x14ac:dyDescent="0.55000000000000004">
      <c r="A54">
        <v>2038</v>
      </c>
      <c r="B54">
        <v>196.31709677877399</v>
      </c>
      <c r="C54">
        <v>34366.874401556684</v>
      </c>
      <c r="D54">
        <v>17505798</v>
      </c>
    </row>
    <row r="55" spans="1:4" x14ac:dyDescent="0.55000000000000004">
      <c r="A55">
        <v>2039</v>
      </c>
      <c r="B55">
        <v>196.69116727118501</v>
      </c>
      <c r="C55">
        <v>34724.659203105795</v>
      </c>
      <c r="D55">
        <v>17654407</v>
      </c>
    </row>
    <row r="56" spans="1:4" x14ac:dyDescent="0.55000000000000004">
      <c r="A56">
        <v>2040</v>
      </c>
      <c r="B56">
        <v>197.10622185834799</v>
      </c>
      <c r="C56">
        <v>35088.987589578406</v>
      </c>
      <c r="D56">
        <v>17802070</v>
      </c>
    </row>
    <row r="57" spans="1:4" x14ac:dyDescent="0.55000000000000004">
      <c r="A57">
        <v>2041</v>
      </c>
      <c r="B57">
        <v>197.55701838860901</v>
      </c>
      <c r="C57">
        <v>35459.327478114516</v>
      </c>
      <c r="D57">
        <v>17948908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8"/>
  <sheetViews>
    <sheetView tabSelected="1" topLeftCell="E1" workbookViewId="0">
      <selection activeCell="L11" sqref="L11"/>
    </sheetView>
  </sheetViews>
  <sheetFormatPr defaultRowHeight="14.4" x14ac:dyDescent="0.55000000000000004"/>
  <cols>
    <col min="8" max="8" width="14" customWidth="1"/>
  </cols>
  <sheetData>
    <row r="1" spans="1:12" x14ac:dyDescent="0.55000000000000004">
      <c r="A1" t="s">
        <v>0</v>
      </c>
      <c r="B1" t="s">
        <v>1</v>
      </c>
      <c r="C1" t="s">
        <v>3</v>
      </c>
      <c r="D1" t="s">
        <v>2</v>
      </c>
      <c r="E1" t="s">
        <v>4</v>
      </c>
      <c r="F1" t="s">
        <v>5</v>
      </c>
      <c r="H1" t="s">
        <v>6</v>
      </c>
      <c r="I1" t="s">
        <v>7</v>
      </c>
    </row>
    <row r="2" spans="1:12" x14ac:dyDescent="0.55000000000000004">
      <c r="A2">
        <v>2017</v>
      </c>
      <c r="B2">
        <v>14130259</v>
      </c>
      <c r="C2">
        <v>199.498295231057</v>
      </c>
      <c r="D2">
        <f>C2/100000*B2</f>
        <v>28189.625816733002</v>
      </c>
      <c r="E2">
        <v>0</v>
      </c>
      <c r="F2">
        <v>0.107</v>
      </c>
      <c r="G2">
        <v>0.22</v>
      </c>
      <c r="H2">
        <f>D2*F2</f>
        <v>3016.2899623904309</v>
      </c>
      <c r="I2">
        <f>D2*G2</f>
        <v>6201.7176796812601</v>
      </c>
    </row>
    <row r="3" spans="1:12" x14ac:dyDescent="0.55000000000000004">
      <c r="A3">
        <v>2018</v>
      </c>
      <c r="B3">
        <v>14297175</v>
      </c>
      <c r="C3">
        <v>199.079241175237</v>
      </c>
      <c r="D3">
        <f t="shared" ref="D3:D26" si="0">C3/100000*B3</f>
        <v>28462.707499495689</v>
      </c>
      <c r="E3">
        <v>1</v>
      </c>
      <c r="F3">
        <f>F2+E$28</f>
        <v>0.11920833333333333</v>
      </c>
      <c r="G3">
        <f>G2+F$28</f>
        <v>0.22750000000000001</v>
      </c>
      <c r="H3">
        <f t="shared" ref="H3:H26" si="1">D3*F3</f>
        <v>3392.9919231690487</v>
      </c>
      <c r="I3">
        <f t="shared" ref="I3:I26" si="2">D3*G3</f>
        <v>6475.2659561352693</v>
      </c>
    </row>
    <row r="4" spans="1:12" x14ac:dyDescent="0.55000000000000004">
      <c r="A4">
        <v>2019</v>
      </c>
      <c r="B4">
        <v>14461580</v>
      </c>
      <c r="C4">
        <v>198.76897259713601</v>
      </c>
      <c r="D4">
        <f t="shared" si="0"/>
        <v>28745.133987312904</v>
      </c>
      <c r="E4">
        <v>2</v>
      </c>
      <c r="F4">
        <f>F3+E$28</f>
        <v>0.13141666666666668</v>
      </c>
      <c r="G4">
        <f>G3+F$28</f>
        <v>0.23500000000000001</v>
      </c>
      <c r="H4">
        <f t="shared" si="1"/>
        <v>3777.5896914993714</v>
      </c>
      <c r="I4">
        <f t="shared" si="2"/>
        <v>6755.1064870185328</v>
      </c>
    </row>
    <row r="5" spans="1:12" x14ac:dyDescent="0.55000000000000004">
      <c r="A5">
        <v>2020</v>
      </c>
      <c r="B5">
        <v>14624595</v>
      </c>
      <c r="C5">
        <v>198.51892377770901</v>
      </c>
      <c r="D5">
        <f t="shared" si="0"/>
        <v>29032.588600848645</v>
      </c>
      <c r="E5">
        <v>3</v>
      </c>
      <c r="F5">
        <f>F4+E$28</f>
        <v>0.143625</v>
      </c>
      <c r="G5">
        <f>G4+F$28</f>
        <v>0.24250000000000002</v>
      </c>
      <c r="H5">
        <f t="shared" si="1"/>
        <v>4169.8055377968867</v>
      </c>
      <c r="I5">
        <f t="shared" si="2"/>
        <v>7040.4027357057967</v>
      </c>
    </row>
    <row r="6" spans="1:12" x14ac:dyDescent="0.55000000000000004">
      <c r="A6">
        <v>2021</v>
      </c>
      <c r="B6">
        <v>14788488</v>
      </c>
      <c r="C6">
        <v>198.23083686611301</v>
      </c>
      <c r="D6">
        <f t="shared" si="0"/>
        <v>29315.343522244701</v>
      </c>
      <c r="E6">
        <v>4</v>
      </c>
      <c r="F6">
        <f>F5+E$28</f>
        <v>0.15583333333333332</v>
      </c>
      <c r="G6">
        <f>G5+F$28</f>
        <v>0.25</v>
      </c>
      <c r="H6">
        <f t="shared" si="1"/>
        <v>4568.3076988831326</v>
      </c>
      <c r="I6">
        <f t="shared" si="2"/>
        <v>7328.8358805611751</v>
      </c>
      <c r="K6">
        <f>H6-H2</f>
        <v>1552.0177364927017</v>
      </c>
      <c r="L6">
        <f>I6-I2</f>
        <v>1127.1182008799151</v>
      </c>
    </row>
    <row r="7" spans="1:12" x14ac:dyDescent="0.55000000000000004">
      <c r="A7">
        <v>2022</v>
      </c>
      <c r="B7">
        <v>14953133</v>
      </c>
      <c r="C7">
        <v>197.91017063183801</v>
      </c>
      <c r="D7">
        <f t="shared" si="0"/>
        <v>29593.771035105678</v>
      </c>
      <c r="E7">
        <v>5</v>
      </c>
      <c r="F7">
        <f>F6+E$28</f>
        <v>0.16804166666666664</v>
      </c>
      <c r="G7">
        <f>G6+F$28</f>
        <v>0.25750000000000001</v>
      </c>
      <c r="H7">
        <f t="shared" si="1"/>
        <v>4972.9866076908829</v>
      </c>
      <c r="I7">
        <f t="shared" si="2"/>
        <v>7620.3960415397123</v>
      </c>
    </row>
    <row r="8" spans="1:12" x14ac:dyDescent="0.55000000000000004">
      <c r="A8">
        <v>2023</v>
      </c>
      <c r="B8">
        <v>15118338</v>
      </c>
      <c r="C8">
        <v>197.56524319982401</v>
      </c>
      <c r="D8">
        <f t="shared" si="0"/>
        <v>29868.581237471411</v>
      </c>
      <c r="E8">
        <v>6</v>
      </c>
      <c r="F8">
        <f>F7+E$28</f>
        <v>0.18024999999999997</v>
      </c>
      <c r="G8">
        <f>G7+F$28</f>
        <v>0.26500000000000001</v>
      </c>
      <c r="H8">
        <f t="shared" si="1"/>
        <v>5383.8117680542209</v>
      </c>
      <c r="I8">
        <f t="shared" si="2"/>
        <v>7915.1740279299247</v>
      </c>
    </row>
    <row r="9" spans="1:12" x14ac:dyDescent="0.55000000000000004">
      <c r="A9">
        <v>2024</v>
      </c>
      <c r="B9">
        <v>15283774</v>
      </c>
      <c r="C9">
        <v>197.21030802374301</v>
      </c>
      <c r="D9">
        <f t="shared" si="0"/>
        <v>30141.17778305275</v>
      </c>
      <c r="E9">
        <v>7</v>
      </c>
      <c r="F9">
        <f>F8+E$28</f>
        <v>0.19245833333333329</v>
      </c>
      <c r="G9">
        <f>G8+F$28</f>
        <v>0.27250000000000002</v>
      </c>
      <c r="H9">
        <f t="shared" si="1"/>
        <v>5800.9208408300256</v>
      </c>
      <c r="I9">
        <f t="shared" si="2"/>
        <v>8213.4709458818743</v>
      </c>
    </row>
    <row r="10" spans="1:12" x14ac:dyDescent="0.55000000000000004">
      <c r="A10">
        <v>2025</v>
      </c>
      <c r="B10">
        <v>15449133</v>
      </c>
      <c r="C10">
        <v>196.858708762351</v>
      </c>
      <c r="D10">
        <f t="shared" si="0"/>
        <v>30412.96373877826</v>
      </c>
      <c r="E10">
        <v>8</v>
      </c>
      <c r="F10">
        <f>F9+E$28</f>
        <v>0.20466666666666661</v>
      </c>
      <c r="G10">
        <f>G9+F$28</f>
        <v>0.28000000000000003</v>
      </c>
      <c r="H10">
        <f t="shared" si="1"/>
        <v>6224.5199118699493</v>
      </c>
      <c r="I10">
        <f t="shared" si="2"/>
        <v>8515.6298468579134</v>
      </c>
    </row>
    <row r="11" spans="1:12" x14ac:dyDescent="0.55000000000000004">
      <c r="A11">
        <v>2026</v>
      </c>
      <c r="B11">
        <v>15614382</v>
      </c>
      <c r="C11">
        <v>196.511875093372</v>
      </c>
      <c r="D11">
        <f t="shared" si="0"/>
        <v>30684.114852441959</v>
      </c>
      <c r="E11">
        <v>9</v>
      </c>
      <c r="F11">
        <f>F10+E$28</f>
        <v>0.21687499999999993</v>
      </c>
      <c r="G11">
        <f>G10+F$28</f>
        <v>0.28750000000000003</v>
      </c>
      <c r="H11">
        <f t="shared" si="1"/>
        <v>6654.6174086233477</v>
      </c>
      <c r="I11">
        <f t="shared" si="2"/>
        <v>8821.6830200770637</v>
      </c>
    </row>
    <row r="12" spans="1:12" x14ac:dyDescent="0.55000000000000004">
      <c r="A12">
        <v>2027</v>
      </c>
      <c r="B12">
        <v>15779180</v>
      </c>
      <c r="C12">
        <v>196.184580353287</v>
      </c>
      <c r="D12">
        <f t="shared" si="0"/>
        <v>30956.31806618979</v>
      </c>
      <c r="E12">
        <v>10</v>
      </c>
      <c r="F12">
        <f>F11+E$28</f>
        <v>0.22908333333333325</v>
      </c>
      <c r="G12">
        <f>G11+F$28</f>
        <v>0.29500000000000004</v>
      </c>
      <c r="H12">
        <f t="shared" si="1"/>
        <v>7091.5765303296421</v>
      </c>
      <c r="I12">
        <f t="shared" si="2"/>
        <v>9132.1138295259898</v>
      </c>
    </row>
    <row r="13" spans="1:12" x14ac:dyDescent="0.55000000000000004">
      <c r="A13">
        <v>2028</v>
      </c>
      <c r="B13">
        <v>15943199</v>
      </c>
      <c r="C13">
        <v>195.891034672199</v>
      </c>
      <c r="D13">
        <f t="shared" si="0"/>
        <v>31231.297480947684</v>
      </c>
      <c r="E13">
        <v>11</v>
      </c>
      <c r="F13">
        <f>F12+E$28</f>
        <v>0.24129166666666657</v>
      </c>
      <c r="G13">
        <f>G12+F$28</f>
        <v>0.30250000000000005</v>
      </c>
      <c r="H13">
        <f t="shared" si="1"/>
        <v>7535.8518213403322</v>
      </c>
      <c r="I13">
        <f t="shared" si="2"/>
        <v>9447.4674879866761</v>
      </c>
    </row>
    <row r="14" spans="1:12" x14ac:dyDescent="0.55000000000000004">
      <c r="A14">
        <v>2029</v>
      </c>
      <c r="B14">
        <v>16106156</v>
      </c>
      <c r="C14">
        <v>195.643498619681</v>
      </c>
      <c r="D14">
        <f t="shared" si="0"/>
        <v>31510.647091543666</v>
      </c>
      <c r="E14">
        <v>12</v>
      </c>
      <c r="F14">
        <f>F13+E$28</f>
        <v>0.25349999999999989</v>
      </c>
      <c r="G14">
        <f>G13+F$28</f>
        <v>0.31000000000000005</v>
      </c>
      <c r="H14">
        <f t="shared" si="1"/>
        <v>7987.9490377063157</v>
      </c>
      <c r="I14">
        <f t="shared" si="2"/>
        <v>9768.3005983785388</v>
      </c>
    </row>
    <row r="15" spans="1:12" x14ac:dyDescent="0.55000000000000004">
      <c r="A15">
        <v>2030</v>
      </c>
      <c r="B15">
        <v>16267817</v>
      </c>
      <c r="C15">
        <v>195.45210991050101</v>
      </c>
      <c r="D15">
        <f t="shared" si="0"/>
        <v>31795.791562879167</v>
      </c>
      <c r="E15">
        <v>13</v>
      </c>
      <c r="F15">
        <f>F14+E$28</f>
        <v>0.26570833333333321</v>
      </c>
      <c r="G15">
        <f>G14+F$28</f>
        <v>0.31750000000000006</v>
      </c>
      <c r="H15">
        <f t="shared" si="1"/>
        <v>8448.4067831866814</v>
      </c>
      <c r="I15">
        <f t="shared" si="2"/>
        <v>10095.163821214137</v>
      </c>
    </row>
    <row r="16" spans="1:12" x14ac:dyDescent="0.55000000000000004">
      <c r="A16">
        <v>2031</v>
      </c>
      <c r="B16">
        <v>16428017</v>
      </c>
      <c r="C16">
        <v>195.324016933281</v>
      </c>
      <c r="D16">
        <f t="shared" si="0"/>
        <v>32087.862706882283</v>
      </c>
      <c r="E16">
        <v>14</v>
      </c>
      <c r="F16">
        <f>F15+E$28</f>
        <v>0.27791666666666653</v>
      </c>
      <c r="G16">
        <f>G15+F$28</f>
        <v>0.32500000000000007</v>
      </c>
      <c r="H16">
        <f t="shared" si="1"/>
        <v>8917.7518439543637</v>
      </c>
      <c r="I16">
        <f t="shared" si="2"/>
        <v>10428.555379736745</v>
      </c>
    </row>
    <row r="17" spans="1:9" x14ac:dyDescent="0.55000000000000004">
      <c r="A17">
        <v>2032</v>
      </c>
      <c r="B17">
        <v>16586680</v>
      </c>
      <c r="C17">
        <v>195.26251227914</v>
      </c>
      <c r="D17">
        <f t="shared" si="0"/>
        <v>32387.568071701658</v>
      </c>
      <c r="E17">
        <v>15</v>
      </c>
      <c r="F17">
        <f>F16+E$28</f>
        <v>0.29012499999999986</v>
      </c>
      <c r="G17">
        <f>G16+F$28</f>
        <v>0.33250000000000007</v>
      </c>
      <c r="H17">
        <f t="shared" si="1"/>
        <v>9396.4431868024385</v>
      </c>
      <c r="I17">
        <f t="shared" si="2"/>
        <v>10768.866383840805</v>
      </c>
    </row>
    <row r="18" spans="1:9" x14ac:dyDescent="0.55000000000000004">
      <c r="A18">
        <v>2033</v>
      </c>
      <c r="B18">
        <v>16743711</v>
      </c>
      <c r="C18">
        <v>195.271711686983</v>
      </c>
      <c r="D18">
        <f t="shared" si="0"/>
        <v>32695.731069621655</v>
      </c>
      <c r="E18">
        <v>16</v>
      </c>
      <c r="F18">
        <f>F17+E$28</f>
        <v>0.30233333333333318</v>
      </c>
      <c r="G18">
        <f>G17+F$28</f>
        <v>0.34000000000000008</v>
      </c>
      <c r="H18">
        <f t="shared" si="1"/>
        <v>9885.0093600489417</v>
      </c>
      <c r="I18">
        <f t="shared" si="2"/>
        <v>11116.548563671366</v>
      </c>
    </row>
    <row r="19" spans="1:9" x14ac:dyDescent="0.55000000000000004">
      <c r="A19">
        <v>2034</v>
      </c>
      <c r="B19">
        <v>16899105</v>
      </c>
      <c r="C19">
        <v>195.35183177464401</v>
      </c>
      <c r="D19">
        <f t="shared" si="0"/>
        <v>33012.711171020455</v>
      </c>
      <c r="E19">
        <v>17</v>
      </c>
      <c r="F19">
        <f>F18+E$28</f>
        <v>0.3145416666666665</v>
      </c>
      <c r="G19">
        <f>G18+F$28</f>
        <v>0.34750000000000009</v>
      </c>
      <c r="H19">
        <f t="shared" si="1"/>
        <v>10383.873192918054</v>
      </c>
      <c r="I19">
        <f t="shared" si="2"/>
        <v>11471.917131929611</v>
      </c>
    </row>
    <row r="20" spans="1:9" x14ac:dyDescent="0.55000000000000004">
      <c r="A20">
        <v>2035</v>
      </c>
      <c r="B20">
        <v>17052894</v>
      </c>
      <c r="C20">
        <v>195.50148618796899</v>
      </c>
      <c r="D20">
        <f t="shared" si="0"/>
        <v>33338.661208058991</v>
      </c>
      <c r="E20">
        <v>18</v>
      </c>
      <c r="F20">
        <f>F19+E$28</f>
        <v>0.32674999999999982</v>
      </c>
      <c r="G20">
        <f>G19+F$28</f>
        <v>0.35500000000000009</v>
      </c>
      <c r="H20">
        <f t="shared" si="1"/>
        <v>10893.407549733269</v>
      </c>
      <c r="I20">
        <f t="shared" si="2"/>
        <v>11835.224728860945</v>
      </c>
    </row>
    <row r="21" spans="1:9" x14ac:dyDescent="0.55000000000000004">
      <c r="A21">
        <v>2036</v>
      </c>
      <c r="B21">
        <v>17205184</v>
      </c>
      <c r="C21">
        <v>195.71608262881301</v>
      </c>
      <c r="D21">
        <f t="shared" si="0"/>
        <v>33673.312133879321</v>
      </c>
      <c r="E21">
        <v>19</v>
      </c>
      <c r="F21">
        <f>F20+E$28</f>
        <v>0.33895833333333314</v>
      </c>
      <c r="G21">
        <f>G20+F$28</f>
        <v>0.3625000000000001</v>
      </c>
      <c r="H21">
        <f t="shared" si="1"/>
        <v>11413.849758712839</v>
      </c>
      <c r="I21">
        <f t="shared" si="2"/>
        <v>12206.575648531258</v>
      </c>
    </row>
    <row r="22" spans="1:9" x14ac:dyDescent="0.55000000000000004">
      <c r="A22">
        <v>2037</v>
      </c>
      <c r="B22">
        <v>17356098</v>
      </c>
      <c r="C22">
        <v>195.990292298387</v>
      </c>
      <c r="D22">
        <f t="shared" si="0"/>
        <v>34016.267201794501</v>
      </c>
      <c r="E22">
        <v>20</v>
      </c>
      <c r="F22">
        <f>F21+E$28</f>
        <v>0.35116666666666646</v>
      </c>
      <c r="G22">
        <f>G21+F$28</f>
        <v>0.37000000000000011</v>
      </c>
      <c r="H22">
        <f t="shared" si="1"/>
        <v>11945.379165696828</v>
      </c>
      <c r="I22">
        <f t="shared" si="2"/>
        <v>12586.018864663969</v>
      </c>
    </row>
    <row r="23" spans="1:9" x14ac:dyDescent="0.55000000000000004">
      <c r="A23">
        <v>2038</v>
      </c>
      <c r="B23">
        <v>17505798</v>
      </c>
      <c r="C23">
        <v>196.31709677877399</v>
      </c>
      <c r="D23">
        <f t="shared" si="0"/>
        <v>34366.874401556684</v>
      </c>
      <c r="E23">
        <v>21</v>
      </c>
      <c r="F23">
        <f>F22+E$28</f>
        <v>0.36337499999999978</v>
      </c>
      <c r="G23">
        <f>G22+F$28</f>
        <v>0.37750000000000011</v>
      </c>
      <c r="H23">
        <f t="shared" si="1"/>
        <v>12488.062985665652</v>
      </c>
      <c r="I23">
        <f t="shared" si="2"/>
        <v>12973.495086587653</v>
      </c>
    </row>
    <row r="24" spans="1:9" x14ac:dyDescent="0.55000000000000004">
      <c r="A24">
        <v>2039</v>
      </c>
      <c r="B24">
        <v>17654407</v>
      </c>
      <c r="C24">
        <v>196.69116727118501</v>
      </c>
      <c r="D24">
        <f t="shared" si="0"/>
        <v>34724.659203105795</v>
      </c>
      <c r="E24">
        <v>22</v>
      </c>
      <c r="F24">
        <f>F23+E$28</f>
        <v>0.3755833333333331</v>
      </c>
      <c r="G24">
        <f>G23+F$28</f>
        <v>0.38500000000000012</v>
      </c>
      <c r="H24">
        <f t="shared" si="1"/>
        <v>13042.003252366478</v>
      </c>
      <c r="I24">
        <f t="shared" si="2"/>
        <v>13368.993793195736</v>
      </c>
    </row>
    <row r="25" spans="1:9" x14ac:dyDescent="0.55000000000000004">
      <c r="A25">
        <v>2040</v>
      </c>
      <c r="B25">
        <v>17802070</v>
      </c>
      <c r="C25">
        <v>197.10622185834799</v>
      </c>
      <c r="D25">
        <f t="shared" si="0"/>
        <v>35088.987589578406</v>
      </c>
      <c r="E25">
        <v>23</v>
      </c>
      <c r="F25">
        <f>F24+E$28</f>
        <v>0.38779166666666642</v>
      </c>
      <c r="G25">
        <f>G24+F$28</f>
        <v>0.39250000000000013</v>
      </c>
      <c r="H25">
        <f t="shared" si="1"/>
        <v>13607.216979008585</v>
      </c>
      <c r="I25">
        <f t="shared" si="2"/>
        <v>13772.427628909529</v>
      </c>
    </row>
    <row r="26" spans="1:9" x14ac:dyDescent="0.55000000000000004">
      <c r="A26">
        <v>2041</v>
      </c>
      <c r="B26">
        <v>17948908</v>
      </c>
      <c r="C26">
        <v>197.55701838860901</v>
      </c>
      <c r="D26">
        <f t="shared" si="0"/>
        <v>35459.327478114516</v>
      </c>
      <c r="E26">
        <v>24</v>
      </c>
      <c r="F26">
        <v>0.4</v>
      </c>
      <c r="G26">
        <v>0.4</v>
      </c>
      <c r="H26">
        <f t="shared" si="1"/>
        <v>14183.730991245808</v>
      </c>
      <c r="I26">
        <f t="shared" si="2"/>
        <v>14183.730991245808</v>
      </c>
    </row>
    <row r="27" spans="1:9" x14ac:dyDescent="0.55000000000000004">
      <c r="E27">
        <f>F26-F2</f>
        <v>0.29300000000000004</v>
      </c>
      <c r="F27">
        <f>0.4-0.22</f>
        <v>0.18000000000000002</v>
      </c>
    </row>
    <row r="28" spans="1:9" x14ac:dyDescent="0.55000000000000004">
      <c r="E28">
        <f>E27/24</f>
        <v>1.2208333333333335E-2</v>
      </c>
      <c r="F28">
        <f>F27/24</f>
        <v>7.5000000000000006E-3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GenderMinorityAnalysis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Chen</dc:creator>
  <cp:lastModifiedBy>Alex Chen</cp:lastModifiedBy>
  <dcterms:created xsi:type="dcterms:W3CDTF">2018-06-13T02:45:39Z</dcterms:created>
  <dcterms:modified xsi:type="dcterms:W3CDTF">2018-06-13T02:45:39Z</dcterms:modified>
</cp:coreProperties>
</file>